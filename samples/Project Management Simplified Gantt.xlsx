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f658c2284aac0e/PROJECTS/Project Management/"/>
    </mc:Choice>
  </mc:AlternateContent>
  <xr:revisionPtr revIDLastSave="0" documentId="8_{F28C0163-7238-41DC-9900-063E4083677E}" xr6:coauthVersionLast="47" xr6:coauthVersionMax="47" xr10:uidLastSave="{00000000-0000-0000-0000-000000000000}"/>
  <bookViews>
    <workbookView xWindow="7890" yWindow="11480" windowWidth="19420" windowHeight="10300" xr2:uid="{08A54506-06A0-4BCD-8E66-BA5F3F401D86}"/>
  </bookViews>
  <sheets>
    <sheet name="Hours" sheetId="2" r:id="rId1"/>
    <sheet name="Cost" sheetId="4" r:id="rId2"/>
    <sheet name="Tasks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AR17" i="4"/>
  <c r="AR15" i="4"/>
  <c r="AR14" i="4"/>
  <c r="AR12" i="4"/>
  <c r="AR7" i="4"/>
  <c r="AR6" i="4"/>
  <c r="AR5" i="4"/>
  <c r="AR4" i="4"/>
  <c r="AR3" i="4"/>
  <c r="AR3" i="2"/>
  <c r="AR4" i="2"/>
  <c r="AR5" i="2"/>
  <c r="AR6" i="2"/>
  <c r="AR7" i="2"/>
  <c r="AR12" i="2"/>
  <c r="AR14" i="2"/>
  <c r="AR15" i="2"/>
  <c r="AR17" i="2"/>
  <c r="AR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C18" i="2"/>
  <c r="B14" i="1"/>
  <c r="D11" i="1"/>
  <c r="B15" i="1"/>
  <c r="C15" i="1" l="1"/>
  <c r="AR18" i="4"/>
  <c r="C16" i="1"/>
  <c r="D16" i="1"/>
  <c r="D10" i="1" l="1"/>
  <c r="D6" i="1"/>
  <c r="D4" i="1"/>
  <c r="D8" i="1"/>
  <c r="D2" i="1"/>
  <c r="D14" i="1" l="1"/>
</calcChain>
</file>

<file path=xl/sharedStrings.xml><?xml version="1.0" encoding="utf-8"?>
<sst xmlns="http://schemas.openxmlformats.org/spreadsheetml/2006/main" count="101" uniqueCount="37">
  <si>
    <t>Tasks</t>
  </si>
  <si>
    <t>Critical Path:</t>
  </si>
  <si>
    <t>ChooseCountry</t>
  </si>
  <si>
    <t>Dianne</t>
  </si>
  <si>
    <t>GetPermit</t>
  </si>
  <si>
    <t>Cody</t>
  </si>
  <si>
    <t>o</t>
  </si>
  <si>
    <t>PurchaseSite</t>
  </si>
  <si>
    <t>ModifyBuilding</t>
  </si>
  <si>
    <t>Chris</t>
  </si>
  <si>
    <t>InstallFuniture</t>
  </si>
  <si>
    <t>Louise</t>
  </si>
  <si>
    <t>OPEN</t>
  </si>
  <si>
    <t>Miles</t>
  </si>
  <si>
    <t>Floaters:</t>
  </si>
  <si>
    <t>FindSite</t>
  </si>
  <si>
    <t>Maria</t>
  </si>
  <si>
    <t>HireManager</t>
  </si>
  <si>
    <t>BuyFurniture</t>
  </si>
  <si>
    <t>Tony</t>
  </si>
  <si>
    <t>HireStaff</t>
  </si>
  <si>
    <t>Task</t>
  </si>
  <si>
    <t>avg weeks</t>
  </si>
  <si>
    <t xml:space="preserve"> CP add on</t>
  </si>
  <si>
    <t>weeks</t>
  </si>
  <si>
    <t>Choose 
Country</t>
  </si>
  <si>
    <t>Find
Site</t>
  </si>
  <si>
    <t>Get
Permit</t>
  </si>
  <si>
    <t>Hire
Manager</t>
  </si>
  <si>
    <t>Purchase
Site</t>
  </si>
  <si>
    <t>Hire
Staff</t>
  </si>
  <si>
    <t>Modify
Building</t>
  </si>
  <si>
    <t>Buy
Funiture</t>
  </si>
  <si>
    <t>Install
Funiture</t>
  </si>
  <si>
    <t>Open</t>
  </si>
  <si>
    <t>Sum critical path</t>
  </si>
  <si>
    <t>90% safe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</si>
</sst>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right"/>
    </xf>
    <xf numFmtId="1" fontId="0" fillId="0" borderId="0" xfId="0" applyNumberFormat="1" applyAlignment="1">
      <alignment horizontal="left"/>
    </xf>
    <xf numFmtId="9" fontId="0" fillId="0" borderId="0" xfId="1" applyFont="1" applyAlignment="1">
      <alignment horizontal="left"/>
    </xf>
    <xf numFmtId="0" fontId="2" fillId="0" borderId="0" xfId="0" applyFont="1"/>
    <xf numFmtId="1" fontId="2" fillId="0" borderId="0" xfId="0" applyNumberFormat="1" applyFont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164" fontId="0" fillId="0" borderId="0" xfId="0" applyNumberFormat="1" applyAlignment="1">
      <alignment textRotation="90"/>
    </xf>
    <xf numFmtId="164" fontId="0" fillId="0" borderId="0" xfId="0" applyNumberFormat="1" applyAlignment="1">
      <alignment vertical="center" textRotation="90"/>
    </xf>
    <xf numFmtId="0" fontId="4" fillId="0" borderId="0" xfId="0" applyFont="1"/>
    <xf numFmtId="164" fontId="5" fillId="0" borderId="0" xfId="0" applyNumberFormat="1" applyFont="1" applyAlignment="1">
      <alignment horizontal="left" vertical="center" textRotation="1"/>
    </xf>
  </cellXfs>
  <cellStyles count="2">
    <cellStyle name="Normal" xfId="0" builtinId="0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198439</xdr:colOff>
      <xdr:row>7</xdr:row>
      <xdr:rowOff>150811</xdr:rowOff>
    </xdr:from>
    <xdr:to>
      <xdr:col>43</xdr:col>
      <xdr:colOff>71439</xdr:colOff>
      <xdr:row>8</xdr:row>
      <xdr:rowOff>182560</xdr:rowOff>
    </xdr:to>
    <xdr:sp macro="" textlink="">
      <xdr:nvSpPr>
        <xdr:cNvPr id="2" name="Rombe 1">
          <a:extLst>
            <a:ext uri="{FF2B5EF4-FFF2-40B4-BE49-F238E27FC236}">
              <a16:creationId xmlns:a16="http://schemas.microsoft.com/office/drawing/2014/main" id="{6DC46F8E-85B2-4602-B5C4-65677389386B}"/>
            </a:ext>
          </a:extLst>
        </xdr:cNvPr>
        <xdr:cNvSpPr/>
      </xdr:nvSpPr>
      <xdr:spPr>
        <a:xfrm>
          <a:off x="12438064" y="1246186"/>
          <a:ext cx="127000" cy="214312"/>
        </a:xfrm>
        <a:prstGeom prst="diamon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b-NO" sz="1100"/>
        </a:p>
      </xdr:txBody>
    </xdr:sp>
    <xdr:clientData/>
  </xdr:twoCellAnchor>
  <xdr:twoCellAnchor>
    <xdr:from>
      <xdr:col>7</xdr:col>
      <xdr:colOff>31750</xdr:colOff>
      <xdr:row>11</xdr:row>
      <xdr:rowOff>95250</xdr:rowOff>
    </xdr:from>
    <xdr:to>
      <xdr:col>9</xdr:col>
      <xdr:colOff>7938</xdr:colOff>
      <xdr:row>11</xdr:row>
      <xdr:rowOff>95250</xdr:rowOff>
    </xdr:to>
    <xdr:cxnSp macro="">
      <xdr:nvCxnSpPr>
        <xdr:cNvPr id="4" name="Rett pilkobling 3">
          <a:extLst>
            <a:ext uri="{FF2B5EF4-FFF2-40B4-BE49-F238E27FC236}">
              <a16:creationId xmlns:a16="http://schemas.microsoft.com/office/drawing/2014/main" id="{03AC6550-155D-4DA7-872F-110F57881B67}"/>
            </a:ext>
          </a:extLst>
        </xdr:cNvPr>
        <xdr:cNvCxnSpPr/>
      </xdr:nvCxnSpPr>
      <xdr:spPr>
        <a:xfrm flipH="1">
          <a:off x="2198688" y="1920875"/>
          <a:ext cx="412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23813</xdr:colOff>
      <xdr:row>11</xdr:row>
      <xdr:rowOff>87313</xdr:rowOff>
    </xdr:from>
    <xdr:to>
      <xdr:col>17</xdr:col>
      <xdr:colOff>0</xdr:colOff>
      <xdr:row>11</xdr:row>
      <xdr:rowOff>87314</xdr:rowOff>
    </xdr:to>
    <xdr:cxnSp macro="">
      <xdr:nvCxnSpPr>
        <xdr:cNvPr id="6" name="Rett pilkobling 5">
          <a:extLst>
            <a:ext uri="{FF2B5EF4-FFF2-40B4-BE49-F238E27FC236}">
              <a16:creationId xmlns:a16="http://schemas.microsoft.com/office/drawing/2014/main" id="{3A9E8A1F-1AD0-424E-A7D6-D266179A1020}"/>
            </a:ext>
          </a:extLst>
        </xdr:cNvPr>
        <xdr:cNvCxnSpPr/>
      </xdr:nvCxnSpPr>
      <xdr:spPr>
        <a:xfrm>
          <a:off x="3897313" y="1912938"/>
          <a:ext cx="738187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174625</xdr:colOff>
      <xdr:row>13</xdr:row>
      <xdr:rowOff>95250</xdr:rowOff>
    </xdr:from>
    <xdr:to>
      <xdr:col>8</xdr:col>
      <xdr:colOff>0</xdr:colOff>
      <xdr:row>13</xdr:row>
      <xdr:rowOff>95250</xdr:rowOff>
    </xdr:to>
    <xdr:cxnSp macro="">
      <xdr:nvCxnSpPr>
        <xdr:cNvPr id="9" name="Rett pilkobling 8">
          <a:extLst>
            <a:ext uri="{FF2B5EF4-FFF2-40B4-BE49-F238E27FC236}">
              <a16:creationId xmlns:a16="http://schemas.microsoft.com/office/drawing/2014/main" id="{2A78C09C-F1C6-4C36-A263-39F29553E980}"/>
            </a:ext>
          </a:extLst>
        </xdr:cNvPr>
        <xdr:cNvCxnSpPr/>
      </xdr:nvCxnSpPr>
      <xdr:spPr>
        <a:xfrm flipH="1">
          <a:off x="2159000" y="2286000"/>
          <a:ext cx="190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79375</xdr:colOff>
      <xdr:row>14</xdr:row>
      <xdr:rowOff>95251</xdr:rowOff>
    </xdr:from>
    <xdr:to>
      <xdr:col>39</xdr:col>
      <xdr:colOff>238125</xdr:colOff>
      <xdr:row>14</xdr:row>
      <xdr:rowOff>103187</xdr:rowOff>
    </xdr:to>
    <xdr:cxnSp macro="">
      <xdr:nvCxnSpPr>
        <xdr:cNvPr id="11" name="Rett pilkobling 10">
          <a:extLst>
            <a:ext uri="{FF2B5EF4-FFF2-40B4-BE49-F238E27FC236}">
              <a16:creationId xmlns:a16="http://schemas.microsoft.com/office/drawing/2014/main" id="{6825E19F-898A-40CA-B405-2B59419B78A8}"/>
            </a:ext>
          </a:extLst>
        </xdr:cNvPr>
        <xdr:cNvCxnSpPr/>
      </xdr:nvCxnSpPr>
      <xdr:spPr>
        <a:xfrm flipV="1">
          <a:off x="10048875" y="2468564"/>
          <a:ext cx="412750" cy="793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55563</xdr:colOff>
      <xdr:row>13</xdr:row>
      <xdr:rowOff>71438</xdr:rowOff>
    </xdr:from>
    <xdr:to>
      <xdr:col>35</xdr:col>
      <xdr:colOff>238125</xdr:colOff>
      <xdr:row>14</xdr:row>
      <xdr:rowOff>79375</xdr:rowOff>
    </xdr:to>
    <xdr:cxnSp macro="">
      <xdr:nvCxnSpPr>
        <xdr:cNvPr id="14" name="Kobling: vinkel 13">
          <a:extLst>
            <a:ext uri="{FF2B5EF4-FFF2-40B4-BE49-F238E27FC236}">
              <a16:creationId xmlns:a16="http://schemas.microsoft.com/office/drawing/2014/main" id="{0F832F10-4BFD-4512-82E8-5CBC2BD29179}"/>
            </a:ext>
          </a:extLst>
        </xdr:cNvPr>
        <xdr:cNvCxnSpPr/>
      </xdr:nvCxnSpPr>
      <xdr:spPr>
        <a:xfrm>
          <a:off x="3929063" y="2262188"/>
          <a:ext cx="5516562" cy="190500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55564</xdr:colOff>
      <xdr:row>16</xdr:row>
      <xdr:rowOff>79375</xdr:rowOff>
    </xdr:from>
    <xdr:to>
      <xdr:col>34</xdr:col>
      <xdr:colOff>174625</xdr:colOff>
      <xdr:row>16</xdr:row>
      <xdr:rowOff>87312</xdr:rowOff>
    </xdr:to>
    <xdr:cxnSp macro="">
      <xdr:nvCxnSpPr>
        <xdr:cNvPr id="16" name="Rett pilkobling 15">
          <a:extLst>
            <a:ext uri="{FF2B5EF4-FFF2-40B4-BE49-F238E27FC236}">
              <a16:creationId xmlns:a16="http://schemas.microsoft.com/office/drawing/2014/main" id="{CE806CF7-EB97-403F-A560-FFD0A9E42335}"/>
            </a:ext>
          </a:extLst>
        </xdr:cNvPr>
        <xdr:cNvCxnSpPr/>
      </xdr:nvCxnSpPr>
      <xdr:spPr>
        <a:xfrm flipH="1">
          <a:off x="5167314" y="3413125"/>
          <a:ext cx="5199061" cy="79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198439</xdr:colOff>
      <xdr:row>7</xdr:row>
      <xdr:rowOff>150811</xdr:rowOff>
    </xdr:from>
    <xdr:to>
      <xdr:col>43</xdr:col>
      <xdr:colOff>71439</xdr:colOff>
      <xdr:row>8</xdr:row>
      <xdr:rowOff>182560</xdr:rowOff>
    </xdr:to>
    <xdr:sp macro="" textlink="">
      <xdr:nvSpPr>
        <xdr:cNvPr id="2" name="Rombe 1">
          <a:extLst>
            <a:ext uri="{FF2B5EF4-FFF2-40B4-BE49-F238E27FC236}">
              <a16:creationId xmlns:a16="http://schemas.microsoft.com/office/drawing/2014/main" id="{12AF8643-91D6-4799-99CA-5C8D6CEB38DA}"/>
            </a:ext>
          </a:extLst>
        </xdr:cNvPr>
        <xdr:cNvSpPr/>
      </xdr:nvSpPr>
      <xdr:spPr>
        <a:xfrm>
          <a:off x="12422189" y="1852611"/>
          <a:ext cx="127000" cy="215899"/>
        </a:xfrm>
        <a:prstGeom prst="diamon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b-NO" sz="1100"/>
        </a:p>
      </xdr:txBody>
    </xdr:sp>
    <xdr:clientData/>
  </xdr:twoCellAnchor>
  <xdr:twoCellAnchor>
    <xdr:from>
      <xdr:col>7</xdr:col>
      <xdr:colOff>31750</xdr:colOff>
      <xdr:row>11</xdr:row>
      <xdr:rowOff>95250</xdr:rowOff>
    </xdr:from>
    <xdr:to>
      <xdr:col>9</xdr:col>
      <xdr:colOff>7938</xdr:colOff>
      <xdr:row>11</xdr:row>
      <xdr:rowOff>95250</xdr:rowOff>
    </xdr:to>
    <xdr:cxnSp macro="">
      <xdr:nvCxnSpPr>
        <xdr:cNvPr id="3" name="Rett pilkobling 2">
          <a:extLst>
            <a:ext uri="{FF2B5EF4-FFF2-40B4-BE49-F238E27FC236}">
              <a16:creationId xmlns:a16="http://schemas.microsoft.com/office/drawing/2014/main" id="{304F4571-8B4B-44DC-B6FE-2143DAEF022E}"/>
            </a:ext>
          </a:extLst>
        </xdr:cNvPr>
        <xdr:cNvCxnSpPr/>
      </xdr:nvCxnSpPr>
      <xdr:spPr>
        <a:xfrm flipH="1">
          <a:off x="3435350" y="2533650"/>
          <a:ext cx="41433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23813</xdr:colOff>
      <xdr:row>11</xdr:row>
      <xdr:rowOff>87313</xdr:rowOff>
    </xdr:from>
    <xdr:to>
      <xdr:col>17</xdr:col>
      <xdr:colOff>0</xdr:colOff>
      <xdr:row>11</xdr:row>
      <xdr:rowOff>87314</xdr:rowOff>
    </xdr:to>
    <xdr:cxnSp macro="">
      <xdr:nvCxnSpPr>
        <xdr:cNvPr id="4" name="Rett pilkobling 3">
          <a:extLst>
            <a:ext uri="{FF2B5EF4-FFF2-40B4-BE49-F238E27FC236}">
              <a16:creationId xmlns:a16="http://schemas.microsoft.com/office/drawing/2014/main" id="{30A11D72-EFAA-4658-8CB1-293C1ADA6258}"/>
            </a:ext>
          </a:extLst>
        </xdr:cNvPr>
        <xdr:cNvCxnSpPr/>
      </xdr:nvCxnSpPr>
      <xdr:spPr>
        <a:xfrm>
          <a:off x="5135563" y="2525713"/>
          <a:ext cx="738187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174625</xdr:colOff>
      <xdr:row>13</xdr:row>
      <xdr:rowOff>95250</xdr:rowOff>
    </xdr:from>
    <xdr:to>
      <xdr:col>8</xdr:col>
      <xdr:colOff>0</xdr:colOff>
      <xdr:row>13</xdr:row>
      <xdr:rowOff>95250</xdr:rowOff>
    </xdr:to>
    <xdr:cxnSp macro="">
      <xdr:nvCxnSpPr>
        <xdr:cNvPr id="5" name="Rett pilkobling 4">
          <a:extLst>
            <a:ext uri="{FF2B5EF4-FFF2-40B4-BE49-F238E27FC236}">
              <a16:creationId xmlns:a16="http://schemas.microsoft.com/office/drawing/2014/main" id="{1834495E-AA43-489A-9366-1ADC45520DD9}"/>
            </a:ext>
          </a:extLst>
        </xdr:cNvPr>
        <xdr:cNvCxnSpPr/>
      </xdr:nvCxnSpPr>
      <xdr:spPr>
        <a:xfrm flipH="1">
          <a:off x="3394075" y="2901950"/>
          <a:ext cx="1936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79375</xdr:colOff>
      <xdr:row>14</xdr:row>
      <xdr:rowOff>95251</xdr:rowOff>
    </xdr:from>
    <xdr:to>
      <xdr:col>39</xdr:col>
      <xdr:colOff>238125</xdr:colOff>
      <xdr:row>14</xdr:row>
      <xdr:rowOff>103187</xdr:rowOff>
    </xdr:to>
    <xdr:cxnSp macro="">
      <xdr:nvCxnSpPr>
        <xdr:cNvPr id="6" name="Rett pilkobling 5">
          <a:extLst>
            <a:ext uri="{FF2B5EF4-FFF2-40B4-BE49-F238E27FC236}">
              <a16:creationId xmlns:a16="http://schemas.microsoft.com/office/drawing/2014/main" id="{1C95B328-DECA-4D8F-9677-2BBA43459FB1}"/>
            </a:ext>
          </a:extLst>
        </xdr:cNvPr>
        <xdr:cNvCxnSpPr/>
      </xdr:nvCxnSpPr>
      <xdr:spPr>
        <a:xfrm flipV="1">
          <a:off x="11287125" y="3086101"/>
          <a:ext cx="412750" cy="793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55563</xdr:colOff>
      <xdr:row>13</xdr:row>
      <xdr:rowOff>71438</xdr:rowOff>
    </xdr:from>
    <xdr:to>
      <xdr:col>35</xdr:col>
      <xdr:colOff>238125</xdr:colOff>
      <xdr:row>14</xdr:row>
      <xdr:rowOff>79375</xdr:rowOff>
    </xdr:to>
    <xdr:cxnSp macro="">
      <xdr:nvCxnSpPr>
        <xdr:cNvPr id="7" name="Kobling: vinkel 6">
          <a:extLst>
            <a:ext uri="{FF2B5EF4-FFF2-40B4-BE49-F238E27FC236}">
              <a16:creationId xmlns:a16="http://schemas.microsoft.com/office/drawing/2014/main" id="{B6EA287D-CA24-4059-AECA-8947DD0BDCDD}"/>
            </a:ext>
          </a:extLst>
        </xdr:cNvPr>
        <xdr:cNvCxnSpPr/>
      </xdr:nvCxnSpPr>
      <xdr:spPr>
        <a:xfrm>
          <a:off x="5167313" y="2878138"/>
          <a:ext cx="5516562" cy="192087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55564</xdr:colOff>
      <xdr:row>16</xdr:row>
      <xdr:rowOff>79375</xdr:rowOff>
    </xdr:from>
    <xdr:to>
      <xdr:col>34</xdr:col>
      <xdr:colOff>174625</xdr:colOff>
      <xdr:row>16</xdr:row>
      <xdr:rowOff>87312</xdr:rowOff>
    </xdr:to>
    <xdr:cxnSp macro="">
      <xdr:nvCxnSpPr>
        <xdr:cNvPr id="8" name="Rett pilkobling 7">
          <a:extLst>
            <a:ext uri="{FF2B5EF4-FFF2-40B4-BE49-F238E27FC236}">
              <a16:creationId xmlns:a16="http://schemas.microsoft.com/office/drawing/2014/main" id="{8CD67F4F-F882-45A5-91FA-518C5EB1645D}"/>
            </a:ext>
          </a:extLst>
        </xdr:cNvPr>
        <xdr:cNvCxnSpPr/>
      </xdr:nvCxnSpPr>
      <xdr:spPr>
        <a:xfrm flipH="1">
          <a:off x="5167314" y="3438525"/>
          <a:ext cx="5199061" cy="79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D47F-8F1B-4826-8C60-B7248630EBBD}">
  <sheetPr codeName="Ark1"/>
  <dimension ref="A1:AR18"/>
  <sheetViews>
    <sheetView tabSelected="1" zoomScale="80" zoomScaleNormal="80" workbookViewId="0">
      <selection activeCell="A22" sqref="A22"/>
    </sheetView>
  </sheetViews>
  <sheetFormatPr defaultColWidth="11.42578125" defaultRowHeight="15" x14ac:dyDescent="0.25"/>
  <cols>
    <col min="1" max="2" width="17.85546875" customWidth="1"/>
    <col min="3" max="3" width="2.5703125" style="11" customWidth="1"/>
    <col min="4" max="4" width="2.42578125" style="11" customWidth="1"/>
    <col min="5" max="8" width="2.5703125" customWidth="1"/>
    <col min="9" max="43" width="3.5703125" customWidth="1"/>
  </cols>
  <sheetData>
    <row r="1" spans="1:44" s="14" customFormat="1" ht="58.5" customHeight="1" x14ac:dyDescent="0.25">
      <c r="A1" s="17" t="s">
        <v>0</v>
      </c>
      <c r="C1" s="15">
        <v>44129</v>
      </c>
      <c r="D1" s="15">
        <v>44136</v>
      </c>
      <c r="E1" s="15">
        <v>44143</v>
      </c>
      <c r="F1" s="15">
        <v>44150</v>
      </c>
      <c r="G1" s="15">
        <v>44157</v>
      </c>
      <c r="H1" s="15">
        <v>44164</v>
      </c>
      <c r="I1" s="15">
        <v>44171</v>
      </c>
      <c r="J1" s="15">
        <v>44178</v>
      </c>
      <c r="K1" s="15">
        <v>44185</v>
      </c>
      <c r="L1" s="15">
        <v>44192</v>
      </c>
      <c r="M1" s="15">
        <v>44199</v>
      </c>
      <c r="N1" s="15">
        <v>44206</v>
      </c>
      <c r="O1" s="15">
        <v>44213</v>
      </c>
      <c r="P1" s="15">
        <v>44220</v>
      </c>
      <c r="Q1" s="15">
        <v>44227</v>
      </c>
      <c r="R1" s="15">
        <v>44234</v>
      </c>
      <c r="S1" s="15">
        <v>44241</v>
      </c>
      <c r="T1" s="15">
        <v>44248</v>
      </c>
      <c r="U1" s="15">
        <v>44255</v>
      </c>
      <c r="V1" s="15">
        <v>44262</v>
      </c>
      <c r="W1" s="15">
        <v>44269</v>
      </c>
      <c r="X1" s="15">
        <v>44276</v>
      </c>
      <c r="Y1" s="15">
        <v>44283</v>
      </c>
      <c r="Z1" s="15">
        <v>44290</v>
      </c>
      <c r="AA1" s="15">
        <v>44297</v>
      </c>
      <c r="AB1" s="15">
        <v>44304</v>
      </c>
      <c r="AC1" s="15">
        <v>44311</v>
      </c>
      <c r="AD1" s="15">
        <v>44318</v>
      </c>
      <c r="AE1" s="15">
        <v>44325</v>
      </c>
      <c r="AF1" s="15">
        <v>44332</v>
      </c>
      <c r="AG1" s="15">
        <v>44339</v>
      </c>
      <c r="AH1" s="15">
        <v>44346</v>
      </c>
      <c r="AI1" s="15">
        <v>44353</v>
      </c>
      <c r="AJ1" s="15">
        <v>44360</v>
      </c>
      <c r="AK1" s="15">
        <v>44367</v>
      </c>
      <c r="AL1" s="15">
        <v>44374</v>
      </c>
      <c r="AM1" s="15">
        <v>44381</v>
      </c>
      <c r="AN1" s="15">
        <v>44388</v>
      </c>
      <c r="AO1" s="15">
        <v>44395</v>
      </c>
      <c r="AP1" s="15">
        <v>44402</v>
      </c>
      <c r="AQ1" s="15">
        <v>44409</v>
      </c>
    </row>
    <row r="2" spans="1:44" ht="15.75" x14ac:dyDescent="0.25">
      <c r="A2" s="16" t="s">
        <v>1</v>
      </c>
      <c r="C2" s="12">
        <v>1</v>
      </c>
      <c r="D2" s="12">
        <v>2</v>
      </c>
      <c r="E2" s="12">
        <v>3</v>
      </c>
      <c r="F2" s="12">
        <v>4</v>
      </c>
      <c r="G2" s="12">
        <v>5</v>
      </c>
      <c r="H2" s="12">
        <v>6</v>
      </c>
      <c r="I2" s="12">
        <v>7</v>
      </c>
      <c r="J2" s="12">
        <v>8</v>
      </c>
      <c r="K2" s="12">
        <v>9</v>
      </c>
      <c r="L2" s="12">
        <v>10</v>
      </c>
      <c r="M2" s="12">
        <v>11</v>
      </c>
      <c r="N2" s="12">
        <v>12</v>
      </c>
      <c r="O2" s="12">
        <v>13</v>
      </c>
      <c r="P2" s="12">
        <v>14</v>
      </c>
      <c r="Q2" s="12">
        <v>15</v>
      </c>
      <c r="R2" s="12">
        <v>16</v>
      </c>
      <c r="S2" s="12">
        <v>17</v>
      </c>
      <c r="T2" s="12">
        <v>18</v>
      </c>
      <c r="U2" s="12">
        <v>19</v>
      </c>
      <c r="V2" s="12">
        <v>20</v>
      </c>
      <c r="W2" s="12">
        <v>21</v>
      </c>
      <c r="X2" s="12">
        <v>22</v>
      </c>
      <c r="Y2" s="12">
        <v>23</v>
      </c>
      <c r="Z2" s="12">
        <v>24</v>
      </c>
      <c r="AA2" s="12">
        <v>25</v>
      </c>
      <c r="AB2" s="12">
        <v>26</v>
      </c>
      <c r="AC2" s="12">
        <v>27</v>
      </c>
      <c r="AD2" s="12">
        <v>28</v>
      </c>
      <c r="AE2" s="12">
        <v>29</v>
      </c>
      <c r="AF2" s="12">
        <v>30</v>
      </c>
      <c r="AG2" s="12">
        <v>31</v>
      </c>
      <c r="AH2" s="12">
        <v>32</v>
      </c>
      <c r="AI2" s="12">
        <v>33</v>
      </c>
      <c r="AJ2" s="12">
        <v>34</v>
      </c>
      <c r="AK2" s="12">
        <v>35</v>
      </c>
      <c r="AL2" s="12">
        <v>36</v>
      </c>
      <c r="AM2" s="12">
        <v>37</v>
      </c>
      <c r="AN2" s="12">
        <v>38</v>
      </c>
      <c r="AO2" s="12">
        <v>39</v>
      </c>
      <c r="AP2" s="12">
        <v>40</v>
      </c>
      <c r="AQ2" s="12">
        <v>41</v>
      </c>
      <c r="AR2" s="13"/>
    </row>
    <row r="3" spans="1:44" x14ac:dyDescent="0.25">
      <c r="A3" s="1" t="s">
        <v>2</v>
      </c>
      <c r="B3" s="1" t="s">
        <v>3</v>
      </c>
      <c r="C3" s="11">
        <v>6</v>
      </c>
      <c r="D3" s="11">
        <v>6</v>
      </c>
      <c r="E3">
        <v>6</v>
      </c>
      <c r="F3">
        <v>6</v>
      </c>
      <c r="G3">
        <v>6</v>
      </c>
      <c r="H3" s="13"/>
      <c r="AR3" s="11">
        <f t="shared" ref="AR3:AR17" si="0">SUM(C3:AQ3)</f>
        <v>30</v>
      </c>
    </row>
    <row r="4" spans="1:44" x14ac:dyDescent="0.25">
      <c r="A4" t="s">
        <v>4</v>
      </c>
      <c r="B4" t="s">
        <v>5</v>
      </c>
      <c r="H4" s="13">
        <v>4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  <c r="Q4" t="s">
        <v>6</v>
      </c>
      <c r="R4" s="13" t="s">
        <v>6</v>
      </c>
      <c r="S4">
        <v>4</v>
      </c>
      <c r="AR4" s="11">
        <f t="shared" si="0"/>
        <v>8</v>
      </c>
    </row>
    <row r="5" spans="1:44" x14ac:dyDescent="0.25">
      <c r="A5" t="s">
        <v>7</v>
      </c>
      <c r="B5" t="s">
        <v>3</v>
      </c>
      <c r="H5" s="13"/>
      <c r="R5" s="13">
        <v>5</v>
      </c>
      <c r="S5" t="s">
        <v>6</v>
      </c>
      <c r="T5" t="s">
        <v>6</v>
      </c>
      <c r="U5" t="s">
        <v>6</v>
      </c>
      <c r="V5" t="s">
        <v>6</v>
      </c>
      <c r="W5" t="s">
        <v>6</v>
      </c>
      <c r="X5" t="s">
        <v>6</v>
      </c>
      <c r="Y5" t="s">
        <v>6</v>
      </c>
      <c r="Z5" t="s">
        <v>6</v>
      </c>
      <c r="AA5" t="s">
        <v>6</v>
      </c>
      <c r="AB5" t="s">
        <v>6</v>
      </c>
      <c r="AC5" t="s">
        <v>6</v>
      </c>
      <c r="AD5">
        <v>4</v>
      </c>
      <c r="AR5" s="11">
        <f t="shared" si="0"/>
        <v>9</v>
      </c>
    </row>
    <row r="6" spans="1:44" x14ac:dyDescent="0.25">
      <c r="A6" t="s">
        <v>8</v>
      </c>
      <c r="B6" t="s">
        <v>9</v>
      </c>
      <c r="H6" s="13"/>
      <c r="R6" s="13"/>
      <c r="AE6">
        <v>12</v>
      </c>
      <c r="AF6">
        <v>12</v>
      </c>
      <c r="AG6">
        <v>12</v>
      </c>
      <c r="AH6">
        <v>15</v>
      </c>
      <c r="AI6">
        <v>15</v>
      </c>
      <c r="AJ6">
        <v>15</v>
      </c>
      <c r="AK6">
        <v>18</v>
      </c>
      <c r="AL6">
        <v>18</v>
      </c>
      <c r="AM6">
        <v>18</v>
      </c>
      <c r="AN6">
        <v>18</v>
      </c>
      <c r="AO6" s="13"/>
      <c r="AR6" s="11">
        <f t="shared" si="0"/>
        <v>153</v>
      </c>
    </row>
    <row r="7" spans="1:44" x14ac:dyDescent="0.25">
      <c r="A7" t="s">
        <v>10</v>
      </c>
      <c r="B7" t="s">
        <v>11</v>
      </c>
      <c r="H7" s="13"/>
      <c r="R7" s="13"/>
      <c r="AO7" s="13">
        <v>7</v>
      </c>
      <c r="AP7">
        <v>7</v>
      </c>
      <c r="AQ7">
        <v>8</v>
      </c>
      <c r="AR7" s="11">
        <f t="shared" si="0"/>
        <v>22</v>
      </c>
    </row>
    <row r="8" spans="1:44" x14ac:dyDescent="0.25">
      <c r="A8" t="s">
        <v>12</v>
      </c>
      <c r="B8" t="s">
        <v>13</v>
      </c>
      <c r="H8" s="13"/>
      <c r="R8" s="13"/>
      <c r="AO8" s="13"/>
      <c r="AR8" s="11"/>
    </row>
    <row r="9" spans="1:44" x14ac:dyDescent="0.25">
      <c r="H9" s="13"/>
      <c r="R9" s="13"/>
      <c r="AO9" s="13"/>
      <c r="AR9" s="11"/>
    </row>
    <row r="10" spans="1:44" x14ac:dyDescent="0.25">
      <c r="H10" s="13"/>
      <c r="R10" s="13"/>
      <c r="AO10" s="13"/>
      <c r="AR10" s="11"/>
    </row>
    <row r="11" spans="1:44" ht="15.75" x14ac:dyDescent="0.25">
      <c r="A11" s="16" t="s">
        <v>14</v>
      </c>
      <c r="H11" s="13"/>
      <c r="R11" s="13"/>
      <c r="AO11" s="13"/>
      <c r="AR11" s="11"/>
    </row>
    <row r="12" spans="1:44" x14ac:dyDescent="0.25">
      <c r="A12" t="s">
        <v>15</v>
      </c>
      <c r="B12" t="s">
        <v>16</v>
      </c>
      <c r="H12" s="13"/>
      <c r="J12">
        <v>6</v>
      </c>
      <c r="K12">
        <v>6</v>
      </c>
      <c r="L12">
        <v>12</v>
      </c>
      <c r="M12">
        <v>12</v>
      </c>
      <c r="N12">
        <v>6</v>
      </c>
      <c r="R12" s="13"/>
      <c r="AO12" s="13"/>
      <c r="AR12" s="11">
        <f t="shared" si="0"/>
        <v>42</v>
      </c>
    </row>
    <row r="13" spans="1:44" x14ac:dyDescent="0.25">
      <c r="H13" s="13"/>
      <c r="AO13" s="13"/>
      <c r="AR13" s="11"/>
    </row>
    <row r="14" spans="1:44" x14ac:dyDescent="0.25">
      <c r="A14" t="s">
        <v>17</v>
      </c>
      <c r="B14" t="s">
        <v>5</v>
      </c>
      <c r="H14" s="13"/>
      <c r="I14">
        <v>4</v>
      </c>
      <c r="J14">
        <v>12</v>
      </c>
      <c r="K14">
        <v>12</v>
      </c>
      <c r="L14">
        <v>12</v>
      </c>
      <c r="M14">
        <v>4</v>
      </c>
      <c r="N14">
        <v>4</v>
      </c>
      <c r="O14" s="13"/>
      <c r="AO14" s="13"/>
      <c r="AR14" s="11">
        <f t="shared" si="0"/>
        <v>48</v>
      </c>
    </row>
    <row r="15" spans="1:44" x14ac:dyDescent="0.25">
      <c r="A15" s="1" t="s">
        <v>18</v>
      </c>
      <c r="B15" s="1" t="s">
        <v>19</v>
      </c>
      <c r="H15" s="13"/>
      <c r="O15" s="13"/>
      <c r="AK15">
        <v>8</v>
      </c>
      <c r="AL15">
        <v>2</v>
      </c>
      <c r="AO15" s="13"/>
      <c r="AR15" s="11">
        <f t="shared" si="0"/>
        <v>10</v>
      </c>
    </row>
    <row r="16" spans="1:44" x14ac:dyDescent="0.25">
      <c r="O16" s="13"/>
      <c r="AR16" s="11"/>
    </row>
    <row r="17" spans="1:44" x14ac:dyDescent="0.25">
      <c r="A17" t="s">
        <v>20</v>
      </c>
      <c r="B17" t="s">
        <v>19</v>
      </c>
      <c r="O17" s="13"/>
      <c r="AJ17">
        <v>4</v>
      </c>
      <c r="AK17">
        <v>12</v>
      </c>
      <c r="AL17">
        <v>12</v>
      </c>
      <c r="AM17">
        <v>12</v>
      </c>
      <c r="AN17">
        <v>4</v>
      </c>
      <c r="AO17">
        <v>4</v>
      </c>
      <c r="AP17">
        <v>2</v>
      </c>
      <c r="AQ17">
        <v>2</v>
      </c>
      <c r="AR17" s="11">
        <f t="shared" si="0"/>
        <v>52</v>
      </c>
    </row>
    <row r="18" spans="1:44" x14ac:dyDescent="0.25">
      <c r="C18" s="11">
        <f>SUM(C3:C17)</f>
        <v>6</v>
      </c>
      <c r="D18" s="11">
        <f t="shared" ref="D18:AQ18" si="1">SUM(D3:D17)</f>
        <v>6</v>
      </c>
      <c r="E18" s="11">
        <f t="shared" si="1"/>
        <v>6</v>
      </c>
      <c r="F18" s="11">
        <f t="shared" si="1"/>
        <v>6</v>
      </c>
      <c r="G18" s="11">
        <f t="shared" si="1"/>
        <v>6</v>
      </c>
      <c r="H18" s="11">
        <f t="shared" si="1"/>
        <v>4</v>
      </c>
      <c r="I18" s="11">
        <f t="shared" si="1"/>
        <v>4</v>
      </c>
      <c r="J18" s="11">
        <f t="shared" si="1"/>
        <v>18</v>
      </c>
      <c r="K18" s="11">
        <f t="shared" si="1"/>
        <v>18</v>
      </c>
      <c r="L18" s="11">
        <f t="shared" si="1"/>
        <v>24</v>
      </c>
      <c r="M18" s="11">
        <f t="shared" si="1"/>
        <v>16</v>
      </c>
      <c r="N18" s="11">
        <f t="shared" si="1"/>
        <v>10</v>
      </c>
      <c r="O18" s="11">
        <f t="shared" si="1"/>
        <v>0</v>
      </c>
      <c r="P18" s="11">
        <f t="shared" si="1"/>
        <v>0</v>
      </c>
      <c r="Q18" s="11">
        <f t="shared" si="1"/>
        <v>0</v>
      </c>
      <c r="R18" s="11">
        <f t="shared" si="1"/>
        <v>5</v>
      </c>
      <c r="S18" s="11">
        <f t="shared" si="1"/>
        <v>4</v>
      </c>
      <c r="T18" s="11">
        <f t="shared" si="1"/>
        <v>0</v>
      </c>
      <c r="U18" s="11">
        <f t="shared" si="1"/>
        <v>0</v>
      </c>
      <c r="V18" s="11">
        <f t="shared" si="1"/>
        <v>0</v>
      </c>
      <c r="W18" s="11">
        <f t="shared" si="1"/>
        <v>0</v>
      </c>
      <c r="X18" s="11">
        <f t="shared" si="1"/>
        <v>0</v>
      </c>
      <c r="Y18" s="11">
        <f t="shared" si="1"/>
        <v>0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4</v>
      </c>
      <c r="AE18" s="11">
        <f t="shared" si="1"/>
        <v>12</v>
      </c>
      <c r="AF18" s="11">
        <f t="shared" si="1"/>
        <v>12</v>
      </c>
      <c r="AG18" s="11">
        <f t="shared" si="1"/>
        <v>12</v>
      </c>
      <c r="AH18" s="11">
        <f t="shared" si="1"/>
        <v>15</v>
      </c>
      <c r="AI18" s="11">
        <f t="shared" si="1"/>
        <v>15</v>
      </c>
      <c r="AJ18" s="11">
        <f t="shared" si="1"/>
        <v>19</v>
      </c>
      <c r="AK18" s="11">
        <f t="shared" si="1"/>
        <v>38</v>
      </c>
      <c r="AL18" s="11">
        <f t="shared" si="1"/>
        <v>32</v>
      </c>
      <c r="AM18" s="11">
        <f t="shared" si="1"/>
        <v>30</v>
      </c>
      <c r="AN18" s="11">
        <f t="shared" si="1"/>
        <v>22</v>
      </c>
      <c r="AO18" s="11">
        <f t="shared" si="1"/>
        <v>11</v>
      </c>
      <c r="AP18" s="11">
        <f t="shared" si="1"/>
        <v>9</v>
      </c>
      <c r="AQ18" s="11">
        <f t="shared" si="1"/>
        <v>10</v>
      </c>
      <c r="AR18" s="11">
        <f>SUM(C18:AQ18)</f>
        <v>374</v>
      </c>
    </row>
  </sheetData>
  <conditionalFormatting sqref="C3:AQ4 C5:AD5 AF5:AQ5 C6:AN6 AP6:AQ6 C7:AQ8">
    <cfRule type="cellIs" dxfId="5" priority="3" operator="greaterThan">
      <formula>0</formula>
    </cfRule>
  </conditionalFormatting>
  <conditionalFormatting sqref="C12:AQ14 C15:AH15 AK15:AQ15 C16:AQ17">
    <cfRule type="cellIs" dxfId="4" priority="1" operator="greaterThan">
      <formula>0</formula>
    </cfRule>
    <cfRule type="cellIs" dxfId="3" priority="2" operator="greaterThan">
      <formula>"&gt;0"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2964C-4D46-4BF4-8CBA-14F0B3FC14B7}">
  <sheetPr codeName="Ark2"/>
  <dimension ref="A1:AR18"/>
  <sheetViews>
    <sheetView zoomScale="80" zoomScaleNormal="80" workbookViewId="0">
      <selection activeCell="K14" sqref="K14"/>
    </sheetView>
  </sheetViews>
  <sheetFormatPr defaultColWidth="11.42578125" defaultRowHeight="15" x14ac:dyDescent="0.25"/>
  <cols>
    <col min="1" max="2" width="17.85546875" customWidth="1"/>
    <col min="3" max="3" width="2.5703125" style="11" customWidth="1"/>
    <col min="4" max="4" width="2.42578125" style="11" customWidth="1"/>
    <col min="5" max="7" width="2.5703125" customWidth="1"/>
    <col min="8" max="17" width="3.5703125" customWidth="1"/>
    <col min="18" max="18" width="5.42578125" customWidth="1"/>
    <col min="19" max="29" width="3.5703125" customWidth="1"/>
    <col min="30" max="30" width="4.5703125" customWidth="1"/>
    <col min="31" max="31" width="3.5703125" customWidth="1"/>
    <col min="32" max="32" width="4.85546875" customWidth="1"/>
    <col min="33" max="43" width="3.5703125" customWidth="1"/>
  </cols>
  <sheetData>
    <row r="1" spans="1:44" s="14" customFormat="1" ht="59.45" customHeight="1" x14ac:dyDescent="0.25">
      <c r="C1" s="15">
        <v>44129</v>
      </c>
      <c r="D1" s="15">
        <v>44136</v>
      </c>
      <c r="E1" s="15">
        <v>44143</v>
      </c>
      <c r="F1" s="15">
        <v>44150</v>
      </c>
      <c r="G1" s="15">
        <v>44157</v>
      </c>
      <c r="H1" s="15">
        <v>44164</v>
      </c>
      <c r="I1" s="15">
        <v>44171</v>
      </c>
      <c r="J1" s="15">
        <v>44178</v>
      </c>
      <c r="K1" s="15">
        <v>44185</v>
      </c>
      <c r="L1" s="15">
        <v>44192</v>
      </c>
      <c r="M1" s="15">
        <v>44199</v>
      </c>
      <c r="N1" s="15">
        <v>44206</v>
      </c>
      <c r="O1" s="15">
        <v>44213</v>
      </c>
      <c r="P1" s="15">
        <v>44220</v>
      </c>
      <c r="Q1" s="15">
        <v>44227</v>
      </c>
      <c r="R1" s="15">
        <v>44234</v>
      </c>
      <c r="S1" s="15">
        <v>44241</v>
      </c>
      <c r="T1" s="15">
        <v>44248</v>
      </c>
      <c r="U1" s="15">
        <v>44255</v>
      </c>
      <c r="V1" s="15">
        <v>44262</v>
      </c>
      <c r="W1" s="15">
        <v>44269</v>
      </c>
      <c r="X1" s="15">
        <v>44276</v>
      </c>
      <c r="Y1" s="15">
        <v>44283</v>
      </c>
      <c r="Z1" s="15">
        <v>44290</v>
      </c>
      <c r="AA1" s="15">
        <v>44297</v>
      </c>
      <c r="AB1" s="15">
        <v>44304</v>
      </c>
      <c r="AC1" s="15">
        <v>44311</v>
      </c>
      <c r="AD1" s="15">
        <v>44318</v>
      </c>
      <c r="AE1" s="15">
        <v>44325</v>
      </c>
      <c r="AF1" s="15">
        <v>44332</v>
      </c>
      <c r="AG1" s="15">
        <v>44339</v>
      </c>
      <c r="AH1" s="15">
        <v>44346</v>
      </c>
      <c r="AI1" s="15">
        <v>44353</v>
      </c>
      <c r="AJ1" s="15">
        <v>44360</v>
      </c>
      <c r="AK1" s="15">
        <v>44367</v>
      </c>
      <c r="AL1" s="15">
        <v>44374</v>
      </c>
      <c r="AM1" s="15">
        <v>44381</v>
      </c>
      <c r="AN1" s="15">
        <v>44388</v>
      </c>
      <c r="AO1" s="15">
        <v>44395</v>
      </c>
      <c r="AP1" s="15">
        <v>44402</v>
      </c>
      <c r="AQ1" s="15">
        <v>44409</v>
      </c>
    </row>
    <row r="2" spans="1:44" x14ac:dyDescent="0.25">
      <c r="C2" s="12">
        <v>1</v>
      </c>
      <c r="D2" s="12">
        <v>2</v>
      </c>
      <c r="E2" s="12">
        <v>3</v>
      </c>
      <c r="F2" s="12">
        <v>4</v>
      </c>
      <c r="G2" s="12">
        <v>5</v>
      </c>
      <c r="H2" s="12">
        <v>6</v>
      </c>
      <c r="I2" s="12">
        <v>7</v>
      </c>
      <c r="J2" s="12">
        <v>8</v>
      </c>
      <c r="K2" s="12">
        <v>9</v>
      </c>
      <c r="L2" s="12">
        <v>10</v>
      </c>
      <c r="M2" s="12">
        <v>11</v>
      </c>
      <c r="N2" s="12">
        <v>12</v>
      </c>
      <c r="O2" s="12">
        <v>13</v>
      </c>
      <c r="P2" s="12">
        <v>14</v>
      </c>
      <c r="Q2" s="12">
        <v>15</v>
      </c>
      <c r="R2" s="12">
        <v>16</v>
      </c>
      <c r="S2" s="12">
        <v>17</v>
      </c>
      <c r="T2" s="12">
        <v>18</v>
      </c>
      <c r="U2" s="12">
        <v>19</v>
      </c>
      <c r="V2" s="12">
        <v>20</v>
      </c>
      <c r="W2" s="12">
        <v>21</v>
      </c>
      <c r="X2" s="12">
        <v>22</v>
      </c>
      <c r="Y2" s="12">
        <v>23</v>
      </c>
      <c r="Z2" s="12">
        <v>24</v>
      </c>
      <c r="AA2" s="12">
        <v>25</v>
      </c>
      <c r="AB2" s="12">
        <v>26</v>
      </c>
      <c r="AC2" s="12">
        <v>27</v>
      </c>
      <c r="AD2" s="12">
        <v>28</v>
      </c>
      <c r="AE2" s="12">
        <v>29</v>
      </c>
      <c r="AF2" s="12">
        <v>30</v>
      </c>
      <c r="AG2" s="12">
        <v>31</v>
      </c>
      <c r="AH2" s="12">
        <v>32</v>
      </c>
      <c r="AI2" s="12">
        <v>33</v>
      </c>
      <c r="AJ2" s="12">
        <v>34</v>
      </c>
      <c r="AK2" s="12">
        <v>35</v>
      </c>
      <c r="AL2" s="12">
        <v>36</v>
      </c>
      <c r="AM2" s="12">
        <v>37</v>
      </c>
      <c r="AN2" s="12">
        <v>38</v>
      </c>
      <c r="AO2" s="12">
        <v>39</v>
      </c>
      <c r="AP2" s="12">
        <v>40</v>
      </c>
      <c r="AQ2" s="12">
        <v>41</v>
      </c>
      <c r="AR2" s="13"/>
    </row>
    <row r="3" spans="1:44" x14ac:dyDescent="0.25">
      <c r="A3" s="1" t="s">
        <v>2</v>
      </c>
      <c r="B3" s="1" t="s">
        <v>3</v>
      </c>
      <c r="C3" s="11">
        <v>2</v>
      </c>
      <c r="D3" s="11">
        <v>2</v>
      </c>
      <c r="E3">
        <v>2</v>
      </c>
      <c r="F3">
        <v>2</v>
      </c>
      <c r="G3">
        <v>2</v>
      </c>
      <c r="H3" s="13"/>
      <c r="AR3" s="11">
        <f t="shared" ref="AR3:AR17" si="0">SUM(C3:AQ3)</f>
        <v>10</v>
      </c>
    </row>
    <row r="4" spans="1:44" x14ac:dyDescent="0.25">
      <c r="A4" t="s">
        <v>4</v>
      </c>
      <c r="B4" t="s">
        <v>5</v>
      </c>
      <c r="H4" s="13">
        <v>99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  <c r="Q4" t="s">
        <v>6</v>
      </c>
      <c r="R4" s="13" t="s">
        <v>6</v>
      </c>
      <c r="S4">
        <v>80</v>
      </c>
      <c r="AR4" s="11">
        <f t="shared" si="0"/>
        <v>179</v>
      </c>
    </row>
    <row r="5" spans="1:44" x14ac:dyDescent="0.25">
      <c r="A5" t="s">
        <v>7</v>
      </c>
      <c r="B5" t="s">
        <v>3</v>
      </c>
      <c r="H5" s="13"/>
      <c r="R5" s="13">
        <v>120</v>
      </c>
      <c r="S5" t="s">
        <v>6</v>
      </c>
      <c r="T5" t="s">
        <v>6</v>
      </c>
      <c r="U5" t="s">
        <v>6</v>
      </c>
      <c r="V5" t="s">
        <v>6</v>
      </c>
      <c r="W5" t="s">
        <v>6</v>
      </c>
      <c r="X5" t="s">
        <v>6</v>
      </c>
      <c r="Y5" t="s">
        <v>6</v>
      </c>
      <c r="Z5" t="s">
        <v>6</v>
      </c>
      <c r="AA5" t="s">
        <v>6</v>
      </c>
      <c r="AB5" t="s">
        <v>6</v>
      </c>
      <c r="AC5" t="s">
        <v>6</v>
      </c>
      <c r="AD5">
        <v>130</v>
      </c>
      <c r="AR5" s="11">
        <f t="shared" si="0"/>
        <v>250</v>
      </c>
    </row>
    <row r="6" spans="1:44" x14ac:dyDescent="0.25">
      <c r="A6" t="s">
        <v>8</v>
      </c>
      <c r="B6" t="s">
        <v>9</v>
      </c>
      <c r="H6" s="13"/>
      <c r="R6" s="13"/>
      <c r="AE6">
        <v>22</v>
      </c>
      <c r="AF6">
        <v>224</v>
      </c>
      <c r="AG6">
        <v>25</v>
      </c>
      <c r="AH6">
        <v>22</v>
      </c>
      <c r="AI6">
        <v>12</v>
      </c>
      <c r="AJ6">
        <v>12</v>
      </c>
      <c r="AK6">
        <v>18</v>
      </c>
      <c r="AL6">
        <v>26</v>
      </c>
      <c r="AM6">
        <v>18</v>
      </c>
      <c r="AN6">
        <v>33</v>
      </c>
      <c r="AO6" s="13"/>
      <c r="AR6" s="11">
        <f t="shared" si="0"/>
        <v>412</v>
      </c>
    </row>
    <row r="7" spans="1:44" x14ac:dyDescent="0.25">
      <c r="A7" t="s">
        <v>10</v>
      </c>
      <c r="B7" t="s">
        <v>11</v>
      </c>
      <c r="H7" s="13"/>
      <c r="R7" s="13"/>
      <c r="AO7" s="13">
        <v>8</v>
      </c>
      <c r="AP7">
        <v>7</v>
      </c>
      <c r="AQ7">
        <v>9</v>
      </c>
      <c r="AR7" s="11">
        <f t="shared" si="0"/>
        <v>24</v>
      </c>
    </row>
    <row r="8" spans="1:44" x14ac:dyDescent="0.25">
      <c r="A8" t="s">
        <v>12</v>
      </c>
      <c r="B8" t="s">
        <v>13</v>
      </c>
      <c r="H8" s="13"/>
      <c r="R8" s="13"/>
      <c r="AO8" s="13"/>
      <c r="AR8" s="11"/>
    </row>
    <row r="9" spans="1:44" x14ac:dyDescent="0.25">
      <c r="H9" s="13"/>
      <c r="R9" s="13"/>
      <c r="AO9" s="13"/>
      <c r="AR9" s="11"/>
    </row>
    <row r="10" spans="1:44" x14ac:dyDescent="0.25">
      <c r="H10" s="13"/>
      <c r="R10" s="13"/>
      <c r="AO10" s="13"/>
      <c r="AR10" s="11"/>
    </row>
    <row r="11" spans="1:44" x14ac:dyDescent="0.25">
      <c r="H11" s="13"/>
      <c r="R11" s="13"/>
      <c r="AO11" s="13"/>
      <c r="AR11" s="11"/>
    </row>
    <row r="12" spans="1:44" x14ac:dyDescent="0.25">
      <c r="A12" t="s">
        <v>15</v>
      </c>
      <c r="B12" t="s">
        <v>16</v>
      </c>
      <c r="H12" s="13"/>
      <c r="J12">
        <v>12</v>
      </c>
      <c r="K12">
        <v>12</v>
      </c>
      <c r="L12">
        <v>15</v>
      </c>
      <c r="M12">
        <v>15</v>
      </c>
      <c r="N12">
        <v>18</v>
      </c>
      <c r="R12" s="13"/>
      <c r="AO12" s="13"/>
      <c r="AR12" s="11">
        <f t="shared" si="0"/>
        <v>72</v>
      </c>
    </row>
    <row r="13" spans="1:44" x14ac:dyDescent="0.25">
      <c r="H13" s="13"/>
      <c r="AO13" s="13"/>
      <c r="AR13" s="11"/>
    </row>
    <row r="14" spans="1:44" x14ac:dyDescent="0.25">
      <c r="A14" t="s">
        <v>17</v>
      </c>
      <c r="B14" t="s">
        <v>5</v>
      </c>
      <c r="H14" s="13"/>
      <c r="I14">
        <v>5</v>
      </c>
      <c r="J14">
        <v>5</v>
      </c>
      <c r="K14">
        <v>5</v>
      </c>
      <c r="L14">
        <v>8</v>
      </c>
      <c r="M14">
        <v>8</v>
      </c>
      <c r="N14">
        <v>8</v>
      </c>
      <c r="O14" s="13"/>
      <c r="AO14" s="13"/>
      <c r="AR14" s="11">
        <f t="shared" si="0"/>
        <v>39</v>
      </c>
    </row>
    <row r="15" spans="1:44" x14ac:dyDescent="0.25">
      <c r="A15" s="1" t="s">
        <v>18</v>
      </c>
      <c r="B15" s="1" t="s">
        <v>19</v>
      </c>
      <c r="H15" s="13"/>
      <c r="O15" s="13"/>
      <c r="AK15">
        <v>8</v>
      </c>
      <c r="AL15">
        <v>2</v>
      </c>
      <c r="AO15" s="13"/>
      <c r="AR15" s="11">
        <f t="shared" si="0"/>
        <v>10</v>
      </c>
    </row>
    <row r="16" spans="1:44" x14ac:dyDescent="0.25">
      <c r="O16" s="13"/>
      <c r="AR16" s="11"/>
    </row>
    <row r="17" spans="1:44" x14ac:dyDescent="0.25">
      <c r="A17" t="s">
        <v>20</v>
      </c>
      <c r="B17" t="s">
        <v>19</v>
      </c>
      <c r="O17" s="13"/>
      <c r="AJ17">
        <v>4</v>
      </c>
      <c r="AK17">
        <v>12</v>
      </c>
      <c r="AL17">
        <v>12</v>
      </c>
      <c r="AM17">
        <v>12</v>
      </c>
      <c r="AN17">
        <v>4</v>
      </c>
      <c r="AO17">
        <v>4</v>
      </c>
      <c r="AP17">
        <v>2</v>
      </c>
      <c r="AQ17">
        <v>2</v>
      </c>
      <c r="AR17" s="11">
        <f t="shared" si="0"/>
        <v>52</v>
      </c>
    </row>
    <row r="18" spans="1:44" x14ac:dyDescent="0.25">
      <c r="C18" s="11">
        <f>SUM(C3:C17)</f>
        <v>2</v>
      </c>
      <c r="D18" s="11">
        <f t="shared" ref="D18:AQ18" si="1">SUM(D3:D17)</f>
        <v>2</v>
      </c>
      <c r="E18" s="11">
        <f t="shared" si="1"/>
        <v>2</v>
      </c>
      <c r="F18" s="11">
        <f t="shared" si="1"/>
        <v>2</v>
      </c>
      <c r="G18" s="11">
        <f t="shared" si="1"/>
        <v>2</v>
      </c>
      <c r="H18" s="11">
        <f t="shared" si="1"/>
        <v>99</v>
      </c>
      <c r="I18" s="11">
        <f t="shared" si="1"/>
        <v>5</v>
      </c>
      <c r="J18" s="11">
        <f t="shared" si="1"/>
        <v>17</v>
      </c>
      <c r="K18" s="11">
        <f t="shared" si="1"/>
        <v>17</v>
      </c>
      <c r="L18" s="11">
        <f t="shared" si="1"/>
        <v>23</v>
      </c>
      <c r="M18" s="11">
        <f t="shared" si="1"/>
        <v>23</v>
      </c>
      <c r="N18" s="11">
        <f t="shared" si="1"/>
        <v>26</v>
      </c>
      <c r="O18" s="11">
        <f t="shared" si="1"/>
        <v>0</v>
      </c>
      <c r="P18" s="11">
        <f t="shared" si="1"/>
        <v>0</v>
      </c>
      <c r="Q18" s="11">
        <f t="shared" si="1"/>
        <v>0</v>
      </c>
      <c r="R18" s="11">
        <f t="shared" si="1"/>
        <v>120</v>
      </c>
      <c r="S18" s="11">
        <f t="shared" si="1"/>
        <v>80</v>
      </c>
      <c r="T18" s="11">
        <f t="shared" si="1"/>
        <v>0</v>
      </c>
      <c r="U18" s="11">
        <f t="shared" si="1"/>
        <v>0</v>
      </c>
      <c r="V18" s="11">
        <f t="shared" si="1"/>
        <v>0</v>
      </c>
      <c r="W18" s="11">
        <f t="shared" si="1"/>
        <v>0</v>
      </c>
      <c r="X18" s="11">
        <f t="shared" si="1"/>
        <v>0</v>
      </c>
      <c r="Y18" s="11">
        <f t="shared" si="1"/>
        <v>0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130</v>
      </c>
      <c r="AE18" s="11">
        <f t="shared" si="1"/>
        <v>22</v>
      </c>
      <c r="AF18" s="11">
        <f t="shared" si="1"/>
        <v>224</v>
      </c>
      <c r="AG18" s="11">
        <f t="shared" si="1"/>
        <v>25</v>
      </c>
      <c r="AH18" s="11">
        <f t="shared" si="1"/>
        <v>22</v>
      </c>
      <c r="AI18" s="11">
        <f t="shared" si="1"/>
        <v>12</v>
      </c>
      <c r="AJ18" s="11">
        <f t="shared" si="1"/>
        <v>16</v>
      </c>
      <c r="AK18" s="11">
        <f t="shared" si="1"/>
        <v>38</v>
      </c>
      <c r="AL18" s="11">
        <f t="shared" si="1"/>
        <v>40</v>
      </c>
      <c r="AM18" s="11">
        <f t="shared" si="1"/>
        <v>30</v>
      </c>
      <c r="AN18" s="11">
        <f t="shared" si="1"/>
        <v>37</v>
      </c>
      <c r="AO18" s="11">
        <f t="shared" si="1"/>
        <v>12</v>
      </c>
      <c r="AP18" s="11">
        <f t="shared" si="1"/>
        <v>9</v>
      </c>
      <c r="AQ18" s="11">
        <f t="shared" si="1"/>
        <v>11</v>
      </c>
      <c r="AR18" s="11">
        <f>SUM(C18:AQ18)</f>
        <v>1048</v>
      </c>
    </row>
  </sheetData>
  <conditionalFormatting sqref="C3:AQ4 C5:AD5 AF5:AQ5 C6:AN6 AP6:AQ6 C7:AQ8">
    <cfRule type="cellIs" dxfId="2" priority="3" operator="greaterThan">
      <formula>0</formula>
    </cfRule>
  </conditionalFormatting>
  <conditionalFormatting sqref="C12:AQ14 C15:AH15 AK15:AQ15 C16:AQ17">
    <cfRule type="cellIs" dxfId="1" priority="1" operator="greaterThan">
      <formula>0</formula>
    </cfRule>
    <cfRule type="cellIs" dxfId="0" priority="2" operator="greaterThan">
      <formula>"&gt;0"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1A03D-50BB-4766-BA4D-37671BF059FB}">
  <sheetPr codeName="Ark3"/>
  <dimension ref="A1:D16"/>
  <sheetViews>
    <sheetView zoomScale="70" zoomScaleNormal="70" workbookViewId="0">
      <selection activeCell="B16" sqref="B16"/>
    </sheetView>
  </sheetViews>
  <sheetFormatPr defaultColWidth="11.42578125" defaultRowHeight="15" x14ac:dyDescent="0.25"/>
  <cols>
    <col min="1" max="1" width="21.5703125" customWidth="1"/>
    <col min="2" max="2" width="10.85546875" style="3"/>
    <col min="3" max="3" width="12.42578125" style="3" customWidth="1"/>
    <col min="4" max="4" width="10.85546875" style="3"/>
  </cols>
  <sheetData>
    <row r="1" spans="1:4" x14ac:dyDescent="0.25">
      <c r="A1" s="4" t="s">
        <v>21</v>
      </c>
      <c r="B1" s="2" t="s">
        <v>22</v>
      </c>
      <c r="C1" s="2" t="s">
        <v>23</v>
      </c>
      <c r="D1" s="2" t="s">
        <v>24</v>
      </c>
    </row>
    <row r="2" spans="1:4" ht="30" x14ac:dyDescent="0.25">
      <c r="A2" s="5" t="s">
        <v>25</v>
      </c>
      <c r="B2" s="3">
        <v>4</v>
      </c>
      <c r="C2" s="3">
        <v>0</v>
      </c>
      <c r="D2" s="7">
        <f>B2+(B2*$D$16)</f>
        <v>5.0588235294117645</v>
      </c>
    </row>
    <row r="3" spans="1:4" ht="30" x14ac:dyDescent="0.25">
      <c r="A3" s="1" t="s">
        <v>26</v>
      </c>
      <c r="B3" s="3">
        <v>5</v>
      </c>
    </row>
    <row r="4" spans="1:4" ht="30" x14ac:dyDescent="0.25">
      <c r="A4" s="5" t="s">
        <v>27</v>
      </c>
      <c r="B4" s="3">
        <v>10</v>
      </c>
      <c r="C4" s="3">
        <v>8</v>
      </c>
      <c r="D4" s="7">
        <f>B4+(B4*$D$16)</f>
        <v>12.647058823529411</v>
      </c>
    </row>
    <row r="5" spans="1:4" ht="30" x14ac:dyDescent="0.25">
      <c r="A5" s="1" t="s">
        <v>28</v>
      </c>
      <c r="B5" s="3">
        <v>6</v>
      </c>
    </row>
    <row r="6" spans="1:4" ht="30" x14ac:dyDescent="0.25">
      <c r="A6" s="5" t="s">
        <v>29</v>
      </c>
      <c r="B6" s="3">
        <v>10</v>
      </c>
      <c r="C6" s="3">
        <v>4</v>
      </c>
      <c r="D6" s="7">
        <f>B6+(B6*$D$16)</f>
        <v>12.647058823529411</v>
      </c>
    </row>
    <row r="7" spans="1:4" ht="30" x14ac:dyDescent="0.25">
      <c r="A7" s="1" t="s">
        <v>30</v>
      </c>
      <c r="B7" s="3">
        <v>8</v>
      </c>
    </row>
    <row r="8" spans="1:4" ht="30" x14ac:dyDescent="0.25">
      <c r="A8" s="5" t="s">
        <v>31</v>
      </c>
      <c r="B8" s="3">
        <v>8</v>
      </c>
      <c r="C8" s="3">
        <v>4</v>
      </c>
      <c r="D8" s="7">
        <f>B8+(B8*$D$16)</f>
        <v>10.117647058823529</v>
      </c>
    </row>
    <row r="9" spans="1:4" ht="30" x14ac:dyDescent="0.25">
      <c r="A9" s="1" t="s">
        <v>32</v>
      </c>
      <c r="B9" s="3">
        <v>2</v>
      </c>
    </row>
    <row r="10" spans="1:4" ht="30" x14ac:dyDescent="0.25">
      <c r="A10" s="5" t="s">
        <v>33</v>
      </c>
      <c r="B10" s="3">
        <v>2</v>
      </c>
      <c r="C10" s="3">
        <v>2</v>
      </c>
      <c r="D10" s="7">
        <f>B10+(B10*$D$16)</f>
        <v>2.5294117647058822</v>
      </c>
    </row>
    <row r="11" spans="1:4" x14ac:dyDescent="0.25">
      <c r="A11" s="1" t="s">
        <v>34</v>
      </c>
      <c r="B11" s="3">
        <v>0</v>
      </c>
      <c r="D11" s="3">
        <f>B11</f>
        <v>0</v>
      </c>
    </row>
    <row r="14" spans="1:4" x14ac:dyDescent="0.25">
      <c r="A14" s="9" t="s">
        <v>35</v>
      </c>
      <c r="B14" s="3">
        <f>SUM(B2,B4,B6,B8,B10)</f>
        <v>34</v>
      </c>
      <c r="C14" s="3">
        <f>SUM(C2,C4,C6,C8,C10)</f>
        <v>18</v>
      </c>
      <c r="D14" s="10">
        <f>SUM(D2:D11)</f>
        <v>43</v>
      </c>
    </row>
    <row r="15" spans="1:4" x14ac:dyDescent="0.25">
      <c r="B15" s="3">
        <f>C14/2</f>
        <v>9</v>
      </c>
      <c r="C15" s="3">
        <f>B14+C14</f>
        <v>52</v>
      </c>
    </row>
    <row r="16" spans="1:4" x14ac:dyDescent="0.25">
      <c r="B16" s="6" t="s">
        <v>36</v>
      </c>
      <c r="C16" s="2">
        <f>B14+C14/2</f>
        <v>43</v>
      </c>
      <c r="D16" s="8">
        <f>B15/B14</f>
        <v>0.26470588235294118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Hours</vt:lpstr>
      <vt:lpstr>Cost</vt:lpstr>
      <vt:lpstr>Tasks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Ellingsen</dc:creator>
  <cp:keywords/>
  <dc:description/>
  <cp:lastModifiedBy>Frank Ellingsen</cp:lastModifiedBy>
  <cp:revision/>
  <dcterms:created xsi:type="dcterms:W3CDTF">2020-10-25T07:29:15Z</dcterms:created>
  <dcterms:modified xsi:type="dcterms:W3CDTF">2024-04-17T20:53:35Z</dcterms:modified>
  <cp:category/>
  <cp:contentStatus/>
</cp:coreProperties>
</file>